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1570" windowHeight="8085" activeTab="1"/>
  </bookViews>
  <sheets>
    <sheet name="Лист1" sheetId="1" r:id="rId1"/>
    <sheet name="Лист2" sheetId="2" r:id="rId2"/>
  </sheets>
  <calcPr calcId="162913"/>
</workbook>
</file>

<file path=xl/calcChain.xml><?xml version="1.0" encoding="utf-8"?>
<calcChain xmlns="http://schemas.openxmlformats.org/spreadsheetml/2006/main">
  <c r="K6" i="2" l="1"/>
  <c r="I14" i="2"/>
  <c r="I8" i="2"/>
  <c r="I9" i="2"/>
  <c r="I10" i="2"/>
  <c r="I11" i="2"/>
  <c r="I12" i="2"/>
  <c r="I13" i="2"/>
  <c r="I7" i="2"/>
  <c r="F23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" i="1"/>
</calcChain>
</file>

<file path=xl/sharedStrings.xml><?xml version="1.0" encoding="utf-8"?>
<sst xmlns="http://schemas.openxmlformats.org/spreadsheetml/2006/main" count="71" uniqueCount="71">
  <si>
    <t>Показатели качества</t>
  </si>
  <si>
    <t>Сущность показателя</t>
  </si>
  <si>
    <t>Качество показателя</t>
  </si>
  <si>
    <t>Корректность</t>
  </si>
  <si>
    <t>Эффективность</t>
  </si>
  <si>
    <t>Гибкость</t>
  </si>
  <si>
    <t>Целостность</t>
  </si>
  <si>
    <t>Сопровождаемость</t>
  </si>
  <si>
    <t>Мобильность</t>
  </si>
  <si>
    <t>Устойчивость</t>
  </si>
  <si>
    <t>Безопасность</t>
  </si>
  <si>
    <t>Тестируемость</t>
  </si>
  <si>
    <t>Понятность</t>
  </si>
  <si>
    <t>Практичность</t>
  </si>
  <si>
    <t>Надёжность — свойство объекта сохранять во времени в установленных пределах значения всех параметров</t>
  </si>
  <si>
    <t>Корректность - это способность программной системы работать в строгом соответствии со своей спецификацией</t>
  </si>
  <si>
    <t>Эффективность — это свойство алгоритма, которое связано с вычислительными ресурсами</t>
  </si>
  <si>
    <t>Гибкость означает способность к адаптации</t>
  </si>
  <si>
    <t>То на сколько программа функционально соответствует ожиданиям</t>
  </si>
  <si>
    <t>То на сколько проектирование проекта соответствует человеческим удобствам</t>
  </si>
  <si>
    <t>Эргономичность проектирования</t>
  </si>
  <si>
    <t>Функциональная совместимость</t>
  </si>
  <si>
    <t>Возможность многократного использования</t>
  </si>
  <si>
    <t>Означает полноту данных</t>
  </si>
  <si>
    <t>Возможность использовать программный код в другой среде</t>
  </si>
  <si>
    <t>Означает на сколько легко будет сопровождать программный продукт</t>
  </si>
  <si>
    <t>Означает легкость поведения модификаций</t>
  </si>
  <si>
    <t>То на сколько программа продуктивна в рабочем процессе</t>
  </si>
  <si>
    <t>То на сколько программа адаптивна в различном окружении</t>
  </si>
  <si>
    <t>Степень четкости (ясности) определения, управления, измерения, контроля</t>
  </si>
  <si>
    <t>Характеризует может ли код программного продукта быть искользован повторно</t>
  </si>
  <si>
    <t>То как программа реагирует на исключительные ситуации</t>
  </si>
  <si>
    <t>То насколько программа соответствует протоколам безопасности и защиты информации</t>
  </si>
  <si>
    <t>То на сколько программа пригодна к использованию</t>
  </si>
  <si>
    <t xml:space="preserve">То на сколько легко или сложно найти дефекты в программе </t>
  </si>
  <si>
    <t>То на сколько программа эффективно выполняет свои задачи</t>
  </si>
  <si>
    <t>Вывод:</t>
  </si>
  <si>
    <t>Обобщённый показатель качества в процентах:</t>
  </si>
  <si>
    <t>№пп</t>
  </si>
  <si>
    <t>Функциональность</t>
  </si>
  <si>
    <t>Модифицируемость</t>
  </si>
  <si>
    <t>Производительность</t>
  </si>
  <si>
    <t>Зрелость процесса</t>
  </si>
  <si>
    <t>Масштабируемость</t>
  </si>
  <si>
    <t>Способность справляться c увеличением нагрузки</t>
  </si>
  <si>
    <t>Эксплуатационная пригодность</t>
  </si>
  <si>
    <t>На сколько программный продукт понятен в использовании</t>
  </si>
  <si>
    <r>
      <t>Экспертная оценка (вес) w</t>
    </r>
    <r>
      <rPr>
        <b/>
        <vertAlign val="subscript"/>
        <sz val="12"/>
        <color theme="1"/>
        <rFont val="Times New Roman"/>
        <family val="1"/>
        <charset val="204"/>
      </rPr>
      <t>i</t>
    </r>
  </si>
  <si>
    <r>
      <t>Оценка, установленная экспериментом, r</t>
    </r>
    <r>
      <rPr>
        <b/>
        <vertAlign val="subscript"/>
        <sz val="12"/>
        <color theme="1"/>
        <rFont val="Times New Roman"/>
        <family val="1"/>
        <charset val="204"/>
      </rPr>
      <t>i</t>
    </r>
  </si>
  <si>
    <t>Итоговая оценка общая надежность составляет 82,14%. Это говорит о достаточно высоком уровне качества системы, соответствующем современным требованиям к ПО. Наименьшие показатели зафиксированы у устойчивости (0,36), модифицируемости (0,56) и масштабируемости(0,56). Программе может не хватать стабильности при возникновении исключительных ситуаций, а внесение изменений в код может быть затруднительным.</t>
  </si>
  <si>
    <t>Надежность+B2:B22</t>
  </si>
  <si>
    <r>
      <t>N</t>
    </r>
    <r>
      <rPr>
        <vertAlign val="subscript"/>
        <sz val="16"/>
        <color rgb="FF292929"/>
        <rFont val="Arial"/>
        <family val="2"/>
        <charset val="204"/>
      </rPr>
      <t>0</t>
    </r>
    <r>
      <rPr>
        <sz val="16"/>
        <color rgb="FF292929"/>
        <rFont val="Arial"/>
        <family val="2"/>
        <charset val="204"/>
      </rPr>
      <t>– число безотказных испытаний</t>
    </r>
  </si>
  <si>
    <t>N – число испытаний</t>
  </si>
  <si>
    <r>
      <t>N</t>
    </r>
    <r>
      <rPr>
        <vertAlign val="subscript"/>
        <sz val="16"/>
        <color rgb="FF292929"/>
        <rFont val="Arial"/>
        <family val="2"/>
        <charset val="204"/>
      </rPr>
      <t>i</t>
    </r>
    <r>
      <rPr>
        <sz val="16"/>
        <color rgb="FF292929"/>
        <rFont val="Arial"/>
        <family val="2"/>
        <charset val="204"/>
      </rPr>
      <t>– количество ошибок i-го типа</t>
    </r>
  </si>
  <si>
    <r>
      <t>a</t>
    </r>
    <r>
      <rPr>
        <vertAlign val="subscript"/>
        <sz val="16"/>
        <color rgb="FF292929"/>
        <rFont val="Arial"/>
        <family val="2"/>
        <charset val="204"/>
      </rPr>
      <t>i</t>
    </r>
    <r>
      <rPr>
        <sz val="16"/>
        <color rgb="FF292929"/>
        <rFont val="Arial"/>
        <family val="2"/>
        <charset val="204"/>
      </rPr>
      <t xml:space="preserve"> – вероятность появления ошибки i-го типа </t>
    </r>
  </si>
  <si>
    <r>
      <t>Y</t>
    </r>
    <r>
      <rPr>
        <vertAlign val="subscript"/>
        <sz val="16"/>
        <color rgb="FF292929"/>
        <rFont val="Arial"/>
        <family val="2"/>
        <charset val="204"/>
      </rPr>
      <t>i</t>
    </r>
    <r>
      <rPr>
        <sz val="16"/>
        <color rgb="FF292929"/>
        <rFont val="Arial"/>
        <family val="2"/>
        <charset val="204"/>
      </rPr>
      <t xml:space="preserve"> – вероятность появления ошибок </t>
    </r>
  </si>
  <si>
    <t>k – известное число типов ошибок</t>
  </si>
  <si>
    <t>Тип ошибки</t>
  </si>
  <si>
    <t>Количество выявленных ошибок</t>
  </si>
  <si>
    <t>Вероятность появления (ai)</t>
  </si>
  <si>
    <t>R=</t>
  </si>
  <si>
    <t>N=</t>
  </si>
  <si>
    <t>N0=</t>
  </si>
  <si>
    <t>Расчет</t>
  </si>
  <si>
    <t>Ошибки на стороне клиента (Frontend) (ошибки верстки, JS-скриптов)</t>
  </si>
  <si>
    <t>Серверные ошибки (Backend) (ошибки 500, сбои в логике PHP/Python/Node.js)</t>
  </si>
  <si>
    <t>Ошибки API и интеграций (некорректные ответы от сторонних сервисов)</t>
  </si>
  <si>
    <t>Ошибки базы данных (медленные запросы, ошибки структуры, потери связей)</t>
  </si>
  <si>
    <t>Проблемы сетевого соединения (тайм-ауты, задержки отклика сервера)</t>
  </si>
  <si>
    <t>Ошибки безопасности и авторизации (некорректная работа сессий, прав доступа)</t>
  </si>
  <si>
    <t>Ошибки контента и загрузки медиа (битые ссылки, отсутствие картинок)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</si>
</sst>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04"/>
    </font>
    <font>
      <sz val="12"/>
      <color rgb="FF000000"/>
      <name val="Bookman Old Style"/>
      <family val="1"/>
      <charset val="204"/>
    </font>
    <font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vertAlign val="subscript"/>
      <sz val="12"/>
      <color theme="1"/>
      <name val="Times New Roman"/>
      <family val="1"/>
      <charset val="204"/>
    </font>
    <font>
      <sz val="16"/>
      <color rgb="FF292929"/>
      <name val="Arial"/>
      <family val="2"/>
      <charset val="204"/>
    </font>
    <font>
      <vertAlign val="subscript"/>
      <sz val="16"/>
      <color rgb="FF292929"/>
      <name val="Arial"/>
      <family val="2"/>
      <charset val="204"/>
    </font>
    <font>
      <sz val="14"/>
      <color rgb="FF292929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4" borderId="0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" fillId="5" borderId="1" xfId="0" applyFont="1" applyFill="1" applyBorder="1"/>
    <xf numFmtId="0" fontId="3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0" fontId="3" fillId="3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justify" vertical="center" readingOrder="1"/>
    </xf>
    <xf numFmtId="0" fontId="0" fillId="0" borderId="1" xfId="0" applyBorder="1"/>
    <xf numFmtId="0" fontId="11" fillId="0" borderId="1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2" fontId="5" fillId="0" borderId="0" xfId="0" applyNumberFormat="1" applyFont="1" applyAlignment="1">
      <alignment vertical="center"/>
    </xf>
    <xf numFmtId="0" fontId="11" fillId="0" borderId="1" xfId="0" applyFont="1" applyFill="1" applyBorder="1" applyAlignment="1">
      <alignment horizontal="center" vertical="center" wrapText="1" readingOrder="1"/>
    </xf>
    <xf numFmtId="0" fontId="3" fillId="0" borderId="1" xfId="0" applyFont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5" fillId="0" borderId="1" xfId="0" applyFont="1" applyBorder="1" applyAlignment="1">
      <alignment horizontal="center" vertical="center" wrapText="1" shrinkToFit="1" readingOrder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Распределени</a:t>
            </a:r>
            <a:r>
              <a:rPr lang="ru-RU" baseline="0"/>
              <a:t>е показателей по интервалам оценок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Лист1!$B$2:$B$22</c:f>
              <c:strCache>
                <c:ptCount val="21"/>
                <c:pt idx="0">
                  <c:v>Надежность+B2:B22</c:v>
                </c:pt>
                <c:pt idx="1">
                  <c:v>Корректность</c:v>
                </c:pt>
                <c:pt idx="2">
                  <c:v>Эффективность</c:v>
                </c:pt>
                <c:pt idx="3">
                  <c:v>Гибкость</c:v>
                </c:pt>
                <c:pt idx="4">
                  <c:v>Функциональность</c:v>
                </c:pt>
                <c:pt idx="5">
                  <c:v>Эргономичность проектирования</c:v>
                </c:pt>
                <c:pt idx="6">
                  <c:v>Целостность</c:v>
                </c:pt>
                <c:pt idx="7">
                  <c:v>Функциональная совместимость</c:v>
                </c:pt>
                <c:pt idx="8">
                  <c:v>Сопровождаемость</c:v>
                </c:pt>
                <c:pt idx="9">
                  <c:v>Модифицируемость</c:v>
                </c:pt>
                <c:pt idx="10">
                  <c:v>Производительность</c:v>
                </c:pt>
                <c:pt idx="11">
                  <c:v>Мобильность</c:v>
                </c:pt>
                <c:pt idx="12">
                  <c:v>Зрелость процесса</c:v>
                </c:pt>
                <c:pt idx="13">
                  <c:v>Возможность многократного использования</c:v>
                </c:pt>
                <c:pt idx="14">
                  <c:v>Устойчивость</c:v>
                </c:pt>
                <c:pt idx="15">
                  <c:v>Масштабируемость</c:v>
                </c:pt>
                <c:pt idx="16">
                  <c:v>Безопасность</c:v>
                </c:pt>
                <c:pt idx="17">
                  <c:v>Эксплуатационная пригодность</c:v>
                </c:pt>
                <c:pt idx="18">
                  <c:v>Тестируемость</c:v>
                </c:pt>
                <c:pt idx="19">
                  <c:v>Понятность</c:v>
                </c:pt>
                <c:pt idx="20">
                  <c:v>Практичность</c:v>
                </c:pt>
              </c:strCache>
            </c:strRef>
          </c:cat>
          <c:val>
            <c:numRef>
              <c:f>Лист1!$F$2:$F$22</c:f>
              <c:numCache>
                <c:formatCode>General</c:formatCode>
                <c:ptCount val="21"/>
                <c:pt idx="0">
                  <c:v>0.72000000000000008</c:v>
                </c:pt>
                <c:pt idx="1">
                  <c:v>0.64000000000000012</c:v>
                </c:pt>
                <c:pt idx="2">
                  <c:v>0.81</c:v>
                </c:pt>
                <c:pt idx="3">
                  <c:v>0.9</c:v>
                </c:pt>
                <c:pt idx="4">
                  <c:v>0.81</c:v>
                </c:pt>
                <c:pt idx="5">
                  <c:v>1</c:v>
                </c:pt>
                <c:pt idx="6">
                  <c:v>0.81</c:v>
                </c:pt>
                <c:pt idx="7">
                  <c:v>1</c:v>
                </c:pt>
                <c:pt idx="8">
                  <c:v>1</c:v>
                </c:pt>
                <c:pt idx="9">
                  <c:v>0.55999999999999994</c:v>
                </c:pt>
                <c:pt idx="10">
                  <c:v>0.9</c:v>
                </c:pt>
                <c:pt idx="11">
                  <c:v>0.72000000000000008</c:v>
                </c:pt>
                <c:pt idx="12">
                  <c:v>0.55999999999999994</c:v>
                </c:pt>
                <c:pt idx="13">
                  <c:v>1</c:v>
                </c:pt>
                <c:pt idx="14">
                  <c:v>0.36</c:v>
                </c:pt>
                <c:pt idx="15">
                  <c:v>0.55999999999999994</c:v>
                </c:pt>
                <c:pt idx="16">
                  <c:v>0.9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B8-4A66-AAF2-722B71E3B7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2784000"/>
        <c:axId val="432783344"/>
      </c:barChart>
      <c:catAx>
        <c:axId val="432784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2783344"/>
        <c:crosses val="autoZero"/>
        <c:auto val="1"/>
        <c:lblAlgn val="ctr"/>
        <c:lblOffset val="100"/>
        <c:noMultiLvlLbl val="0"/>
      </c:catAx>
      <c:valAx>
        <c:axId val="432783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2784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Ошибки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Лист2!$F$7:$F$13</c:f>
              <c:strCache>
                <c:ptCount val="7"/>
                <c:pt idx="0">
                  <c:v>Ошибки на стороне клиента (Frontend) (ошибки верстки, JS-скриптов)</c:v>
                </c:pt>
                <c:pt idx="1">
                  <c:v>Серверные ошибки (Backend) (ошибки 500, сбои в логике PHP/Python/Node.js)</c:v>
                </c:pt>
                <c:pt idx="2">
                  <c:v>Ошибки API и интеграций (некорректные ответы от сторонних сервисов)</c:v>
                </c:pt>
                <c:pt idx="3">
                  <c:v>Ошибки базы данных (медленные запросы, ошибки структуры, потери связей)</c:v>
                </c:pt>
                <c:pt idx="4">
                  <c:v>Проблемы сетевого соединения (тайм-ауты, задержки отклика сервера)</c:v>
                </c:pt>
                <c:pt idx="5">
                  <c:v>Ошибки безопасности и авторизации (некорректная работа сессий, прав доступа)</c:v>
                </c:pt>
                <c:pt idx="6">
                  <c:v>Ошибки контента и загрузки медиа (битые ссылки, отсутствие картинок)</c:v>
                </c:pt>
              </c:strCache>
            </c:strRef>
          </c:cat>
          <c:val>
            <c:numRef>
              <c:f>Лист2!$H$7:$H$13</c:f>
              <c:numCache>
                <c:formatCode>General</c:formatCode>
                <c:ptCount val="7"/>
                <c:pt idx="0">
                  <c:v>12</c:v>
                </c:pt>
                <c:pt idx="1">
                  <c:v>22</c:v>
                </c:pt>
                <c:pt idx="2">
                  <c:v>5</c:v>
                </c:pt>
                <c:pt idx="3">
                  <c:v>8</c:v>
                </c:pt>
                <c:pt idx="4">
                  <c:v>4</c:v>
                </c:pt>
                <c:pt idx="5">
                  <c:v>2</c:v>
                </c:pt>
                <c:pt idx="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F-42BE-B131-7CC671CFB8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2878640"/>
        <c:axId val="492879952"/>
      </c:barChart>
      <c:catAx>
        <c:axId val="492878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92879952"/>
        <c:crosses val="autoZero"/>
        <c:auto val="1"/>
        <c:lblAlgn val="ctr"/>
        <c:lblOffset val="100"/>
        <c:noMultiLvlLbl val="0"/>
      </c:catAx>
      <c:valAx>
        <c:axId val="49287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92878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637833</xdr:colOff>
      <xdr:row>23</xdr:row>
      <xdr:rowOff>186417</xdr:rowOff>
    </xdr:from>
    <xdr:to>
      <xdr:col>9</xdr:col>
      <xdr:colOff>8504</xdr:colOff>
      <xdr:row>30</xdr:row>
      <xdr:rowOff>78240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312966</xdr:colOff>
          <xdr:row>0</xdr:row>
          <xdr:rowOff>204107</xdr:rowOff>
        </xdr:from>
        <xdr:to>
          <xdr:col>14</xdr:col>
          <xdr:colOff>517072</xdr:colOff>
          <xdr:row>2</xdr:row>
          <xdr:rowOff>248172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xdr:twoCellAnchor>
    <xdr:from>
      <xdr:col>4</xdr:col>
      <xdr:colOff>258537</xdr:colOff>
      <xdr:row>1</xdr:row>
      <xdr:rowOff>13608</xdr:rowOff>
    </xdr:from>
    <xdr:to>
      <xdr:col>11</xdr:col>
      <xdr:colOff>27215</xdr:colOff>
      <xdr:row>3</xdr:row>
      <xdr:rowOff>81643</xdr:rowOff>
    </xdr:to>
    <xdr:sp macro="" textlink="">
      <xdr:nvSpPr>
        <xdr:cNvPr id="3" name="Text Box 11"/>
        <xdr:cNvSpPr txBox="1">
          <a:spLocks noChangeArrowheads="1"/>
        </xdr:cNvSpPr>
      </xdr:nvSpPr>
      <xdr:spPr bwMode="auto">
        <a:xfrm>
          <a:off x="7048501" y="312965"/>
          <a:ext cx="7075714" cy="625928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wrap="square">
          <a:noAutofit/>
        </a:bodyPr>
        <a:lstStyle>
          <a:defPPr>
            <a:defRPr lang="ru-RU"/>
          </a:defPPr>
          <a:lvl1pPr algn="just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lr>
              <a:schemeClr val="accent1"/>
            </a:buClr>
            <a:buSzPct val="70000"/>
            <a:buFont typeface="Wingdings" panose="05000000000000000000" pitchFamily="2" charset="2"/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1pPr>
          <a:lvl2pPr marL="457200" algn="just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lr>
              <a:schemeClr val="accent1"/>
            </a:buClr>
            <a:buSzPct val="70000"/>
            <a:buFont typeface="Wingdings" panose="05000000000000000000" pitchFamily="2" charset="2"/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2pPr>
          <a:lvl3pPr marL="914400" algn="just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lr>
              <a:schemeClr val="accent1"/>
            </a:buClr>
            <a:buSzPct val="70000"/>
            <a:buFont typeface="Wingdings" panose="05000000000000000000" pitchFamily="2" charset="2"/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3pPr>
          <a:lvl4pPr marL="1371600" algn="just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lr>
              <a:schemeClr val="accent1"/>
            </a:buClr>
            <a:buSzPct val="70000"/>
            <a:buFont typeface="Wingdings" panose="05000000000000000000" pitchFamily="2" charset="2"/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4pPr>
          <a:lvl5pPr marL="1828800" algn="just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lr>
              <a:schemeClr val="accent1"/>
            </a:buClr>
            <a:buSzPct val="70000"/>
            <a:buFont typeface="Wingdings" panose="05000000000000000000" pitchFamily="2" charset="2"/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9pPr>
        </a:lstStyle>
        <a:p>
          <a:pPr eaLnBrk="1" hangingPunct="1"/>
          <a:r>
            <a:rPr lang="ru-RU" altLang="ru-RU" sz="1400" b="1">
              <a:latin typeface="Times New Roman" panose="02020603050405020304" pitchFamily="18" charset="0"/>
              <a:cs typeface="Times New Roman" panose="02020603050405020304" pitchFamily="18" charset="0"/>
            </a:rPr>
            <a:t>Условие</a:t>
          </a:r>
          <a:r>
            <a:rPr lang="ru-RU" alt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: При тестировании программы было проведено 100 испытаний, при которых было выявлено следующее число ошибок по типам (см. табл.). Из 100 испытаний 15 было проведено безуспешно. Необходимо определить надёжность программы.</a:t>
          </a:r>
        </a:p>
      </xdr:txBody>
    </xdr:sp>
    <xdr:clientData/>
  </xdr:twoCellAnchor>
  <xdr:twoCellAnchor>
    <xdr:from>
      <xdr:col>11</xdr:col>
      <xdr:colOff>136751</xdr:colOff>
      <xdr:row>4</xdr:row>
      <xdr:rowOff>10205</xdr:rowOff>
    </xdr:from>
    <xdr:to>
      <xdr:col>18</xdr:col>
      <xdr:colOff>385989</xdr:colOff>
      <xdr:row>5</xdr:row>
      <xdr:rowOff>81642</xdr:rowOff>
    </xdr:to>
    <xdr:sp macro="" textlink="">
      <xdr:nvSpPr>
        <xdr:cNvPr id="4" name="Rectangle 110"/>
        <xdr:cNvSpPr>
          <a:spLocks noGrp="1" noChangeArrowheads="1"/>
        </xdr:cNvSpPr>
      </xdr:nvSpPr>
      <xdr:spPr bwMode="auto">
        <a:xfrm>
          <a:off x="14233751" y="1166812"/>
          <a:ext cx="4535488" cy="58850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lvl1pPr marL="447675" indent="-447675" algn="l" rtl="0" eaLnBrk="0" fontAlgn="base" hangingPunct="0">
            <a:spcBef>
              <a:spcPct val="20000"/>
            </a:spcBef>
            <a:spcAft>
              <a:spcPct val="0"/>
            </a:spcAft>
            <a:buClr>
              <a:schemeClr val="accent1"/>
            </a:buClr>
            <a:buSzPct val="70000"/>
            <a:buFont typeface="Wingdings" panose="05000000000000000000" pitchFamily="2" charset="2"/>
            <a:buChar char="n"/>
            <a:defRPr sz="3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889000" indent="-439738" algn="l" rtl="0" eaLnBrk="0" fontAlgn="base" hangingPunct="0">
            <a:spcBef>
              <a:spcPct val="20000"/>
            </a:spcBef>
            <a:spcAft>
              <a:spcPct val="0"/>
            </a:spcAft>
            <a:buClr>
              <a:schemeClr val="hlink"/>
            </a:buClr>
            <a:buSzPct val="65000"/>
            <a:buFont typeface="Wingdings" panose="05000000000000000000" pitchFamily="2" charset="2"/>
            <a:buChar char="¡"/>
            <a:defRPr sz="2800">
              <a:solidFill>
                <a:schemeClr val="tx1"/>
              </a:solidFill>
              <a:latin typeface="+mn-lt"/>
            </a:defRPr>
          </a:lvl2pPr>
          <a:lvl3pPr marL="1293813" indent="-403225" algn="l" rtl="0" eaLnBrk="0" fontAlgn="base" hangingPunct="0">
            <a:spcBef>
              <a:spcPct val="20000"/>
            </a:spcBef>
            <a:spcAft>
              <a:spcPct val="0"/>
            </a:spcAft>
            <a:buClr>
              <a:schemeClr val="accent1"/>
            </a:buClr>
            <a:buSzPct val="70000"/>
            <a:buFont typeface="Wingdings" panose="05000000000000000000" pitchFamily="2" charset="2"/>
            <a:buChar char="n"/>
            <a:defRPr sz="2400">
              <a:solidFill>
                <a:schemeClr val="tx1"/>
              </a:solidFill>
              <a:latin typeface="+mn-lt"/>
            </a:defRPr>
          </a:lvl3pPr>
          <a:lvl4pPr marL="1681163" indent="-385763" algn="l" rtl="0" eaLnBrk="0" fontAlgn="base" hangingPunct="0">
            <a:spcBef>
              <a:spcPct val="20000"/>
            </a:spcBef>
            <a:spcAft>
              <a:spcPct val="0"/>
            </a:spcAft>
            <a:buClr>
              <a:schemeClr val="hlink"/>
            </a:buClr>
            <a:buSzPct val="75000"/>
            <a:buFont typeface="Wingdings" panose="05000000000000000000" pitchFamily="2" charset="2"/>
            <a:buChar char="¡"/>
            <a:defRPr sz="2000">
              <a:solidFill>
                <a:schemeClr val="tx1"/>
              </a:solidFill>
              <a:latin typeface="+mn-lt"/>
            </a:defRPr>
          </a:lvl4pPr>
          <a:lvl5pPr marL="2070100" indent="-387350" algn="l" rtl="0" eaLnBrk="0" fontAlgn="base" hangingPunct="0">
            <a:spcBef>
              <a:spcPct val="20000"/>
            </a:spcBef>
            <a:spcAft>
              <a:spcPct val="0"/>
            </a:spcAft>
            <a:buClr>
              <a:schemeClr val="accent1"/>
            </a:buClr>
            <a:buSzPct val="70000"/>
            <a:buFont typeface="Wingdings" panose="05000000000000000000" pitchFamily="2" charset="2"/>
            <a:buChar char="n"/>
            <a:defRPr sz="2000">
              <a:solidFill>
                <a:schemeClr val="tx1"/>
              </a:solidFill>
              <a:latin typeface="+mn-lt"/>
            </a:defRPr>
          </a:lvl5pPr>
          <a:lvl6pPr marL="2527300" indent="-387350" algn="l" rtl="0" fontAlgn="base">
            <a:spcBef>
              <a:spcPct val="20000"/>
            </a:spcBef>
            <a:spcAft>
              <a:spcPct val="0"/>
            </a:spcAft>
            <a:buClr>
              <a:schemeClr val="accent1"/>
            </a:buClr>
            <a:buSzPct val="70000"/>
            <a:buFont typeface="Wingdings" pitchFamily="2" charset="2"/>
            <a:buChar char="n"/>
            <a:defRPr sz="2000">
              <a:solidFill>
                <a:schemeClr val="tx1"/>
              </a:solidFill>
              <a:latin typeface="+mn-lt"/>
            </a:defRPr>
          </a:lvl6pPr>
          <a:lvl7pPr marL="2984500" indent="-387350" algn="l" rtl="0" fontAlgn="base">
            <a:spcBef>
              <a:spcPct val="20000"/>
            </a:spcBef>
            <a:spcAft>
              <a:spcPct val="0"/>
            </a:spcAft>
            <a:buClr>
              <a:schemeClr val="accent1"/>
            </a:buClr>
            <a:buSzPct val="70000"/>
            <a:buFont typeface="Wingdings" pitchFamily="2" charset="2"/>
            <a:buChar char="n"/>
            <a:defRPr sz="2000">
              <a:solidFill>
                <a:schemeClr val="tx1"/>
              </a:solidFill>
              <a:latin typeface="+mn-lt"/>
            </a:defRPr>
          </a:lvl7pPr>
          <a:lvl8pPr marL="3441700" indent="-387350" algn="l" rtl="0" fontAlgn="base">
            <a:spcBef>
              <a:spcPct val="20000"/>
            </a:spcBef>
            <a:spcAft>
              <a:spcPct val="0"/>
            </a:spcAft>
            <a:buClr>
              <a:schemeClr val="accent1"/>
            </a:buClr>
            <a:buSzPct val="70000"/>
            <a:buFont typeface="Wingdings" pitchFamily="2" charset="2"/>
            <a:buChar char="n"/>
            <a:defRPr sz="2000">
              <a:solidFill>
                <a:schemeClr val="tx1"/>
              </a:solidFill>
              <a:latin typeface="+mn-lt"/>
            </a:defRPr>
          </a:lvl8pPr>
          <a:lvl9pPr marL="3898900" indent="-387350" algn="l" rtl="0" fontAlgn="base">
            <a:spcBef>
              <a:spcPct val="20000"/>
            </a:spcBef>
            <a:spcAft>
              <a:spcPct val="0"/>
            </a:spcAft>
            <a:buClr>
              <a:schemeClr val="accent1"/>
            </a:buClr>
            <a:buSzPct val="70000"/>
            <a:buFont typeface="Wingdings" pitchFamily="2" charset="2"/>
            <a:buChar char="n"/>
            <a:defRPr sz="2000">
              <a:solidFill>
                <a:schemeClr val="tx1"/>
              </a:solidFill>
              <a:latin typeface="+mn-lt"/>
            </a:defRPr>
          </a:lvl9pPr>
        </a:lstStyle>
        <a:p>
          <a:pPr algn="just" eaLnBrk="1" hangingPunct="1">
            <a:buFont typeface="Wingdings" panose="05000000000000000000" pitchFamily="2" charset="2"/>
            <a:buNone/>
          </a:pPr>
          <a:r>
            <a:rPr lang="ru-RU" alt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Ответ:</a:t>
          </a:r>
          <a:r>
            <a:rPr lang="ru-RU" altLang="ru-RU" sz="1400" b="1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ru-RU" alt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с уверенностью в </a:t>
          </a:r>
          <a:r>
            <a:rPr lang="en-US" alt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40</a:t>
          </a:r>
          <a:r>
            <a:rPr lang="ru-RU" alt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% можно утверждать, что программа будет работать без сбоя.</a:t>
          </a:r>
        </a:p>
      </xdr:txBody>
    </xdr:sp>
    <xdr:clientData/>
  </xdr:twoCellAnchor>
  <xdr:twoCellAnchor>
    <xdr:from>
      <xdr:col>11</xdr:col>
      <xdr:colOff>462642</xdr:colOff>
      <xdr:row>5</xdr:row>
      <xdr:rowOff>547007</xdr:rowOff>
    </xdr:from>
    <xdr:to>
      <xdr:col>20</xdr:col>
      <xdr:colOff>136070</xdr:colOff>
      <xdr:row>8</xdr:row>
      <xdr:rowOff>378279</xdr:rowOff>
    </xdr:to>
    <xdr:graphicFrame macro="">
      <xdr:nvGraphicFramePr>
        <xdr:cNvPr id="9" name="Диаграмма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zoomScale="70" zoomScaleNormal="70" workbookViewId="0">
      <selection activeCell="H5" sqref="H5"/>
    </sheetView>
  </sheetViews>
  <sheetFormatPr defaultRowHeight="15" x14ac:dyDescent="0.25"/>
  <cols>
    <col min="2" max="2" width="33.28515625" customWidth="1"/>
    <col min="3" max="3" width="46.7109375" customWidth="1"/>
    <col min="4" max="4" width="29.42578125" customWidth="1"/>
    <col min="5" max="5" width="31.140625" customWidth="1"/>
    <col min="6" max="6" width="22.5703125" customWidth="1"/>
  </cols>
  <sheetData>
    <row r="1" spans="1:6" ht="33" x14ac:dyDescent="0.25">
      <c r="A1" s="8" t="s">
        <v>38</v>
      </c>
      <c r="B1" s="9" t="s">
        <v>0</v>
      </c>
      <c r="C1" s="9" t="s">
        <v>1</v>
      </c>
      <c r="D1" s="9" t="s">
        <v>47</v>
      </c>
      <c r="E1" s="9" t="s">
        <v>48</v>
      </c>
      <c r="F1" s="9" t="s">
        <v>2</v>
      </c>
    </row>
    <row r="2" spans="1:6" ht="111.6" customHeight="1" x14ac:dyDescent="0.25">
      <c r="A2" s="4">
        <v>1</v>
      </c>
      <c r="B2" s="7" t="s">
        <v>50</v>
      </c>
      <c r="C2" s="1" t="s">
        <v>14</v>
      </c>
      <c r="D2" s="6">
        <v>0.9</v>
      </c>
      <c r="E2" s="6">
        <v>0.8</v>
      </c>
      <c r="F2" s="6">
        <f>D2*E2</f>
        <v>0.72000000000000008</v>
      </c>
    </row>
    <row r="3" spans="1:6" ht="47.25" x14ac:dyDescent="0.25">
      <c r="A3" s="4">
        <v>2</v>
      </c>
      <c r="B3" s="7" t="s">
        <v>3</v>
      </c>
      <c r="C3" s="1" t="s">
        <v>15</v>
      </c>
      <c r="D3" s="6">
        <v>0.8</v>
      </c>
      <c r="E3" s="6">
        <v>0.8</v>
      </c>
      <c r="F3" s="6">
        <f t="shared" ref="F3:F22" si="0">D3*E3</f>
        <v>0.64000000000000012</v>
      </c>
    </row>
    <row r="4" spans="1:6" ht="72.599999999999994" customHeight="1" x14ac:dyDescent="0.25">
      <c r="A4" s="4">
        <v>3</v>
      </c>
      <c r="B4" s="7" t="s">
        <v>4</v>
      </c>
      <c r="C4" s="1" t="s">
        <v>16</v>
      </c>
      <c r="D4" s="6">
        <v>0.9</v>
      </c>
      <c r="E4" s="6">
        <v>0.9</v>
      </c>
      <c r="F4" s="6">
        <f t="shared" si="0"/>
        <v>0.81</v>
      </c>
    </row>
    <row r="5" spans="1:6" ht="44.45" customHeight="1" x14ac:dyDescent="0.25">
      <c r="A5" s="4">
        <v>4</v>
      </c>
      <c r="B5" s="7" t="s">
        <v>5</v>
      </c>
      <c r="C5" s="1" t="s">
        <v>17</v>
      </c>
      <c r="D5" s="6">
        <v>1</v>
      </c>
      <c r="E5" s="6">
        <v>0.9</v>
      </c>
      <c r="F5" s="6">
        <f t="shared" si="0"/>
        <v>0.9</v>
      </c>
    </row>
    <row r="6" spans="1:6" ht="31.5" x14ac:dyDescent="0.25">
      <c r="A6" s="4">
        <v>5</v>
      </c>
      <c r="B6" s="7" t="s">
        <v>39</v>
      </c>
      <c r="C6" s="1" t="s">
        <v>18</v>
      </c>
      <c r="D6" s="6">
        <v>0.9</v>
      </c>
      <c r="E6" s="6">
        <v>0.9</v>
      </c>
      <c r="F6" s="6">
        <f t="shared" si="0"/>
        <v>0.81</v>
      </c>
    </row>
    <row r="7" spans="1:6" ht="52.15" customHeight="1" x14ac:dyDescent="0.25">
      <c r="A7" s="4">
        <v>6</v>
      </c>
      <c r="B7" s="7" t="s">
        <v>20</v>
      </c>
      <c r="C7" s="1" t="s">
        <v>19</v>
      </c>
      <c r="D7" s="6">
        <v>1</v>
      </c>
      <c r="E7" s="6">
        <v>1</v>
      </c>
      <c r="F7" s="6">
        <f t="shared" si="0"/>
        <v>1</v>
      </c>
    </row>
    <row r="8" spans="1:6" ht="15.75" x14ac:dyDescent="0.25">
      <c r="A8" s="4">
        <v>7</v>
      </c>
      <c r="B8" s="7" t="s">
        <v>6</v>
      </c>
      <c r="C8" s="1" t="s">
        <v>23</v>
      </c>
      <c r="D8" s="6">
        <v>0.9</v>
      </c>
      <c r="E8" s="6">
        <v>0.9</v>
      </c>
      <c r="F8" s="6">
        <f t="shared" si="0"/>
        <v>0.81</v>
      </c>
    </row>
    <row r="9" spans="1:6" ht="31.5" x14ac:dyDescent="0.25">
      <c r="A9" s="4">
        <v>8</v>
      </c>
      <c r="B9" s="7" t="s">
        <v>21</v>
      </c>
      <c r="C9" s="1" t="s">
        <v>24</v>
      </c>
      <c r="D9" s="6">
        <v>1</v>
      </c>
      <c r="E9" s="6">
        <v>1</v>
      </c>
      <c r="F9" s="6">
        <f t="shared" si="0"/>
        <v>1</v>
      </c>
    </row>
    <row r="10" spans="1:6" ht="31.5" x14ac:dyDescent="0.25">
      <c r="A10" s="4">
        <v>9</v>
      </c>
      <c r="B10" s="7" t="s">
        <v>7</v>
      </c>
      <c r="C10" s="1" t="s">
        <v>25</v>
      </c>
      <c r="D10" s="6">
        <v>1</v>
      </c>
      <c r="E10" s="6">
        <v>1</v>
      </c>
      <c r="F10" s="6">
        <f t="shared" si="0"/>
        <v>1</v>
      </c>
    </row>
    <row r="11" spans="1:6" ht="15.75" x14ac:dyDescent="0.25">
      <c r="A11" s="4">
        <v>10</v>
      </c>
      <c r="B11" s="7" t="s">
        <v>40</v>
      </c>
      <c r="C11" s="1" t="s">
        <v>26</v>
      </c>
      <c r="D11" s="6">
        <v>0.7</v>
      </c>
      <c r="E11" s="6">
        <v>0.8</v>
      </c>
      <c r="F11" s="6">
        <f t="shared" si="0"/>
        <v>0.55999999999999994</v>
      </c>
    </row>
    <row r="12" spans="1:6" ht="31.5" x14ac:dyDescent="0.25">
      <c r="A12" s="4">
        <v>11</v>
      </c>
      <c r="B12" s="7" t="s">
        <v>41</v>
      </c>
      <c r="C12" s="1" t="s">
        <v>27</v>
      </c>
      <c r="D12" s="6">
        <v>0.9</v>
      </c>
      <c r="E12" s="6">
        <v>1</v>
      </c>
      <c r="F12" s="6">
        <f t="shared" si="0"/>
        <v>0.9</v>
      </c>
    </row>
    <row r="13" spans="1:6" ht="31.5" x14ac:dyDescent="0.25">
      <c r="A13" s="4">
        <v>12</v>
      </c>
      <c r="B13" s="7" t="s">
        <v>8</v>
      </c>
      <c r="C13" s="1" t="s">
        <v>28</v>
      </c>
      <c r="D13" s="6">
        <v>0.8</v>
      </c>
      <c r="E13" s="6">
        <v>0.9</v>
      </c>
      <c r="F13" s="6">
        <f t="shared" si="0"/>
        <v>0.72000000000000008</v>
      </c>
    </row>
    <row r="14" spans="1:6" ht="31.5" x14ac:dyDescent="0.25">
      <c r="A14" s="4">
        <v>13</v>
      </c>
      <c r="B14" s="7" t="s">
        <v>42</v>
      </c>
      <c r="C14" s="1" t="s">
        <v>29</v>
      </c>
      <c r="D14" s="6">
        <v>0.7</v>
      </c>
      <c r="E14" s="6">
        <v>0.8</v>
      </c>
      <c r="F14" s="6">
        <f t="shared" si="0"/>
        <v>0.55999999999999994</v>
      </c>
    </row>
    <row r="15" spans="1:6" ht="31.5" x14ac:dyDescent="0.25">
      <c r="A15" s="4">
        <v>14</v>
      </c>
      <c r="B15" s="7" t="s">
        <v>22</v>
      </c>
      <c r="C15" s="1" t="s">
        <v>30</v>
      </c>
      <c r="D15" s="6">
        <v>1</v>
      </c>
      <c r="E15" s="6">
        <v>1</v>
      </c>
      <c r="F15" s="6">
        <f t="shared" si="0"/>
        <v>1</v>
      </c>
    </row>
    <row r="16" spans="1:6" ht="31.5" x14ac:dyDescent="0.25">
      <c r="A16" s="4">
        <v>15</v>
      </c>
      <c r="B16" s="7" t="s">
        <v>9</v>
      </c>
      <c r="C16" s="1" t="s">
        <v>31</v>
      </c>
      <c r="D16" s="6">
        <v>0.6</v>
      </c>
      <c r="E16" s="6">
        <v>0.6</v>
      </c>
      <c r="F16" s="6">
        <f t="shared" si="0"/>
        <v>0.36</v>
      </c>
    </row>
    <row r="17" spans="1:6" ht="31.5" x14ac:dyDescent="0.25">
      <c r="A17" s="4">
        <v>16</v>
      </c>
      <c r="B17" s="7" t="s">
        <v>43</v>
      </c>
      <c r="C17" s="1" t="s">
        <v>44</v>
      </c>
      <c r="D17" s="6">
        <v>0.7</v>
      </c>
      <c r="E17" s="6">
        <v>0.8</v>
      </c>
      <c r="F17" s="6">
        <f t="shared" si="0"/>
        <v>0.55999999999999994</v>
      </c>
    </row>
    <row r="18" spans="1:6" ht="47.25" x14ac:dyDescent="0.25">
      <c r="A18" s="4">
        <v>17</v>
      </c>
      <c r="B18" s="7" t="s">
        <v>10</v>
      </c>
      <c r="C18" s="1" t="s">
        <v>32</v>
      </c>
      <c r="D18" s="6">
        <v>1</v>
      </c>
      <c r="E18" s="6">
        <v>0.9</v>
      </c>
      <c r="F18" s="6">
        <f t="shared" si="0"/>
        <v>0.9</v>
      </c>
    </row>
    <row r="19" spans="1:6" ht="31.5" x14ac:dyDescent="0.25">
      <c r="A19" s="4">
        <v>18</v>
      </c>
      <c r="B19" s="7" t="s">
        <v>45</v>
      </c>
      <c r="C19" s="1" t="s">
        <v>33</v>
      </c>
      <c r="D19" s="6">
        <v>1</v>
      </c>
      <c r="E19" s="6">
        <v>1</v>
      </c>
      <c r="F19" s="6">
        <f t="shared" si="0"/>
        <v>1</v>
      </c>
    </row>
    <row r="20" spans="1:6" ht="31.5" x14ac:dyDescent="0.25">
      <c r="A20" s="4">
        <v>19</v>
      </c>
      <c r="B20" s="7" t="s">
        <v>11</v>
      </c>
      <c r="C20" s="1" t="s">
        <v>34</v>
      </c>
      <c r="D20" s="6">
        <v>1</v>
      </c>
      <c r="E20" s="6">
        <v>1</v>
      </c>
      <c r="F20" s="6">
        <f t="shared" si="0"/>
        <v>1</v>
      </c>
    </row>
    <row r="21" spans="1:6" ht="31.5" x14ac:dyDescent="0.25">
      <c r="A21" s="4">
        <v>20</v>
      </c>
      <c r="B21" s="7" t="s">
        <v>12</v>
      </c>
      <c r="C21" s="1" t="s">
        <v>46</v>
      </c>
      <c r="D21" s="6">
        <v>1</v>
      </c>
      <c r="E21" s="6">
        <v>1</v>
      </c>
      <c r="F21" s="6">
        <f t="shared" si="0"/>
        <v>1</v>
      </c>
    </row>
    <row r="22" spans="1:6" ht="31.5" x14ac:dyDescent="0.25">
      <c r="A22" s="4">
        <v>21</v>
      </c>
      <c r="B22" s="7" t="s">
        <v>13</v>
      </c>
      <c r="C22" s="1" t="s">
        <v>35</v>
      </c>
      <c r="D22" s="6">
        <v>1</v>
      </c>
      <c r="E22" s="6">
        <v>1</v>
      </c>
      <c r="F22" s="6">
        <f t="shared" si="0"/>
        <v>1</v>
      </c>
    </row>
    <row r="23" spans="1:6" ht="67.150000000000006" customHeight="1" x14ac:dyDescent="0.25">
      <c r="A23" s="5"/>
      <c r="B23" s="2" t="s">
        <v>37</v>
      </c>
      <c r="C23" s="2"/>
      <c r="D23" s="2"/>
      <c r="E23" s="2"/>
      <c r="F23" s="10">
        <f>AVERAGE(F2:F22)</f>
        <v>0.82142857142857162</v>
      </c>
    </row>
    <row r="25" spans="1:6" ht="269.25" customHeight="1" x14ac:dyDescent="0.25">
      <c r="B25" s="3" t="s">
        <v>36</v>
      </c>
      <c r="C25" s="11" t="s">
        <v>49</v>
      </c>
    </row>
  </sheetData>
  <pageMargins left="0.7" right="0.7" top="0.75" bottom="0.75" header="0.3" footer="0.3"/>
  <pageSetup paperSize="9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14"/>
  <sheetViews>
    <sheetView tabSelected="1" topLeftCell="D4" zoomScale="70" zoomScaleNormal="70" workbookViewId="0">
      <selection activeCell="R10" sqref="R10"/>
    </sheetView>
  </sheetViews>
  <sheetFormatPr defaultRowHeight="15" x14ac:dyDescent="0.25"/>
  <cols>
    <col min="1" max="1" width="74.28515625" customWidth="1"/>
    <col min="6" max="6" width="25.7109375" customWidth="1"/>
    <col min="7" max="7" width="17.42578125" bestFit="1" customWidth="1"/>
    <col min="8" max="8" width="15.28515625" bestFit="1" customWidth="1"/>
    <col min="10" max="10" width="23.7109375" bestFit="1" customWidth="1"/>
  </cols>
  <sheetData>
    <row r="1" spans="1:11" ht="23.25" x14ac:dyDescent="0.25">
      <c r="A1" s="12" t="s">
        <v>51</v>
      </c>
    </row>
    <row r="2" spans="1:11" ht="20.25" x14ac:dyDescent="0.25">
      <c r="A2" s="12" t="s">
        <v>52</v>
      </c>
    </row>
    <row r="3" spans="1:11" ht="23.25" x14ac:dyDescent="0.25">
      <c r="A3" s="12" t="s">
        <v>53</v>
      </c>
    </row>
    <row r="4" spans="1:11" ht="23.25" x14ac:dyDescent="0.25">
      <c r="A4" s="12" t="s">
        <v>54</v>
      </c>
    </row>
    <row r="5" spans="1:11" ht="40.5" customHeight="1" x14ac:dyDescent="0.25">
      <c r="A5" s="12" t="s">
        <v>55</v>
      </c>
      <c r="B5" s="12"/>
      <c r="C5" s="12"/>
    </row>
    <row r="6" spans="1:11" ht="60" customHeight="1" x14ac:dyDescent="0.25">
      <c r="A6" s="12" t="s">
        <v>56</v>
      </c>
      <c r="F6" s="14" t="s">
        <v>57</v>
      </c>
      <c r="G6" s="14" t="s">
        <v>59</v>
      </c>
      <c r="H6" s="14" t="s">
        <v>58</v>
      </c>
      <c r="I6" s="18" t="s">
        <v>63</v>
      </c>
      <c r="J6" s="16" t="s">
        <v>60</v>
      </c>
      <c r="K6" s="17">
        <f>$K$8/$K$7+$I$14</f>
        <v>0.40100000000000002</v>
      </c>
    </row>
    <row r="7" spans="1:11" ht="93.75" x14ac:dyDescent="0.25">
      <c r="F7" s="14" t="s">
        <v>64</v>
      </c>
      <c r="G7" s="14">
        <v>0.15</v>
      </c>
      <c r="H7" s="14">
        <v>12</v>
      </c>
      <c r="I7" s="19">
        <f>G7*(H7-1)/$K$7</f>
        <v>1.6500000000000001E-2</v>
      </c>
      <c r="J7" s="16" t="s">
        <v>61</v>
      </c>
      <c r="K7" s="16">
        <v>100</v>
      </c>
    </row>
    <row r="8" spans="1:11" ht="75" x14ac:dyDescent="0.25">
      <c r="F8" s="14" t="s">
        <v>65</v>
      </c>
      <c r="G8" s="14">
        <v>0.25</v>
      </c>
      <c r="H8" s="14">
        <v>22</v>
      </c>
      <c r="I8" s="19">
        <f t="shared" ref="I8:I13" si="0">G8*(H8-1)/$K$7</f>
        <v>5.2499999999999998E-2</v>
      </c>
      <c r="J8" s="16" t="s">
        <v>62</v>
      </c>
      <c r="K8" s="16">
        <v>30</v>
      </c>
    </row>
    <row r="9" spans="1:11" ht="93.75" x14ac:dyDescent="0.25">
      <c r="F9" s="14" t="s">
        <v>66</v>
      </c>
      <c r="G9" s="14">
        <v>0.12</v>
      </c>
      <c r="H9" s="14">
        <v>5</v>
      </c>
      <c r="I9" s="19">
        <f t="shared" si="0"/>
        <v>4.7999999999999996E-3</v>
      </c>
      <c r="J9" s="16"/>
      <c r="K9" s="16"/>
    </row>
    <row r="10" spans="1:11" ht="93.75" x14ac:dyDescent="0.25">
      <c r="F10" s="14" t="s">
        <v>67</v>
      </c>
      <c r="G10" s="14">
        <v>0.18</v>
      </c>
      <c r="H10" s="14">
        <v>8</v>
      </c>
      <c r="I10" s="19">
        <f t="shared" si="0"/>
        <v>1.26E-2</v>
      </c>
    </row>
    <row r="11" spans="1:11" ht="75" x14ac:dyDescent="0.25">
      <c r="F11" s="14" t="s">
        <v>68</v>
      </c>
      <c r="G11" s="14">
        <v>0.1</v>
      </c>
      <c r="H11" s="14">
        <v>4</v>
      </c>
      <c r="I11" s="19">
        <f t="shared" si="0"/>
        <v>3.0000000000000005E-3</v>
      </c>
    </row>
    <row r="12" spans="1:11" ht="112.5" x14ac:dyDescent="0.25">
      <c r="F12" s="14" t="s">
        <v>69</v>
      </c>
      <c r="G12" s="14">
        <v>0.08</v>
      </c>
      <c r="H12" s="14">
        <v>2</v>
      </c>
      <c r="I12" s="19">
        <f t="shared" si="0"/>
        <v>8.0000000000000004E-4</v>
      </c>
    </row>
    <row r="13" spans="1:11" ht="93.75" x14ac:dyDescent="0.25">
      <c r="F13" s="21" t="s">
        <v>70</v>
      </c>
      <c r="G13" s="15">
        <v>0.12</v>
      </c>
      <c r="H13" s="15">
        <v>10</v>
      </c>
      <c r="I13" s="19">
        <f t="shared" si="0"/>
        <v>1.0800000000000001E-2</v>
      </c>
    </row>
    <row r="14" spans="1:11" ht="15.75" x14ac:dyDescent="0.25">
      <c r="F14" s="13"/>
      <c r="G14" s="13"/>
      <c r="H14" s="13"/>
      <c r="I14" s="20">
        <f>SUM(I7:I13)</f>
        <v>0.10100000000000001</v>
      </c>
    </row>
  </sheetData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2049" r:id="rId4">
          <objectPr defaultSize="0" autoPict="0" r:id="rId5">
            <anchor moveWithCells="1">
              <from>
                <xdr:col>11</xdr:col>
                <xdr:colOff>314325</xdr:colOff>
                <xdr:row>0</xdr:row>
                <xdr:rowOff>200025</xdr:rowOff>
              </from>
              <to>
                <xdr:col>14</xdr:col>
                <xdr:colOff>514350</xdr:colOff>
                <xdr:row>2</xdr:row>
                <xdr:rowOff>247650</xdr:rowOff>
              </to>
            </anchor>
          </objectPr>
        </oleObject>
      </mc:Choice>
      <mc:Fallback>
        <oleObject progId="Equation.3" shapeId="2049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2026-04-28T09:09:18Z</dcterms:modified>
</cp:coreProperties>
</file>